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0_ncr:8100000_{0EB1F165-FA0E-4813-9A3C-1D9A82C3D29D}" xr6:coauthVersionLast="32" xr6:coauthVersionMax="32" xr10:uidLastSave="{00000000-0000-0000-0000-000000000000}"/>
  <bookViews>
    <workbookView xWindow="0" yWindow="0" windowWidth="18045" windowHeight="9390" xr2:uid="{00000000-000D-0000-FFFF-FFFF00000000}"/>
  </bookViews>
  <sheets>
    <sheet name="10cdr 10cpr" sheetId="1" r:id="rId1"/>
    <sheet name="0cpr 0cd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F23" i="1" l="1"/>
  <c r="F34" i="1"/>
  <c r="F32" i="1"/>
  <c r="F33" i="1"/>
  <c r="F24" i="1"/>
  <c r="F25" i="1"/>
  <c r="F26" i="1"/>
  <c r="F27" i="1"/>
  <c r="F28" i="1"/>
  <c r="F29" i="1"/>
  <c r="F30" i="1"/>
  <c r="F31" i="1"/>
  <c r="G9" i="1"/>
  <c r="G10" i="1"/>
  <c r="G11" i="1"/>
  <c r="G12" i="1"/>
  <c r="G13" i="1"/>
  <c r="G14" i="1"/>
  <c r="G15" i="1"/>
  <c r="G16" i="1"/>
  <c r="G17" i="1"/>
  <c r="G18" i="1"/>
  <c r="G19" i="1"/>
  <c r="G8" i="1"/>
  <c r="B9" i="2" l="1"/>
  <c r="B10" i="2"/>
  <c r="B11" i="2"/>
  <c r="B12" i="2"/>
  <c r="B13" i="2"/>
  <c r="B14" i="2"/>
  <c r="B15" i="2"/>
  <c r="B16" i="2"/>
  <c r="B17" i="2"/>
  <c r="B18" i="2"/>
  <c r="B19" i="2"/>
  <c r="B8" i="2"/>
  <c r="B8" i="1"/>
  <c r="H8" i="1"/>
  <c r="H9" i="1"/>
  <c r="H10" i="1"/>
  <c r="H11" i="1"/>
  <c r="H12" i="1"/>
  <c r="H13" i="1"/>
  <c r="H14" i="1"/>
  <c r="H15" i="1"/>
  <c r="H16" i="1"/>
  <c r="H17" i="1"/>
  <c r="I18" i="1"/>
  <c r="H19" i="1"/>
  <c r="I16" i="1" l="1"/>
  <c r="I17" i="1"/>
  <c r="I15" i="1"/>
  <c r="I11" i="1"/>
  <c r="I14" i="1"/>
  <c r="I13" i="1"/>
  <c r="K13" i="1" s="1"/>
  <c r="I12" i="1"/>
  <c r="I10" i="1"/>
  <c r="I8" i="1"/>
  <c r="H18" i="1"/>
  <c r="I19" i="1"/>
  <c r="K19" i="1" s="1"/>
  <c r="K8" i="1" l="1"/>
  <c r="L8" i="1"/>
  <c r="M8" i="1" s="1"/>
  <c r="J8" i="1"/>
  <c r="C13" i="1"/>
  <c r="C10" i="1"/>
  <c r="C17" i="1"/>
  <c r="K9" i="1"/>
  <c r="C15" i="1"/>
  <c r="K16" i="1"/>
  <c r="K15" i="1"/>
  <c r="C16" i="1"/>
  <c r="C8" i="1"/>
  <c r="C9" i="1"/>
  <c r="C14" i="1"/>
  <c r="J11" i="1"/>
  <c r="C12" i="1"/>
  <c r="J10" i="1"/>
  <c r="C11" i="1"/>
  <c r="L16" i="1"/>
  <c r="M16" i="1" s="1"/>
  <c r="J17" i="1"/>
  <c r="C18" i="1"/>
  <c r="J9" i="1"/>
  <c r="J16" i="1"/>
  <c r="C19" i="1"/>
  <c r="K17" i="1"/>
  <c r="K11" i="1"/>
  <c r="L17" i="1"/>
  <c r="M17" i="1" s="1"/>
  <c r="J15" i="1"/>
  <c r="K12" i="1"/>
  <c r="L13" i="1"/>
  <c r="M13" i="1" s="1"/>
  <c r="D13" i="1" s="1"/>
  <c r="J12" i="1"/>
  <c r="L9" i="1"/>
  <c r="M9" i="1" s="1"/>
  <c r="D9" i="1" s="1"/>
  <c r="L12" i="1"/>
  <c r="K10" i="1"/>
  <c r="L11" i="1"/>
  <c r="M11" i="1" s="1"/>
  <c r="L10" i="1"/>
  <c r="L14" i="1"/>
  <c r="M14" i="1" s="1"/>
  <c r="K14" i="1"/>
  <c r="L15" i="1"/>
  <c r="J13" i="1"/>
  <c r="J14" i="1"/>
  <c r="L19" i="1"/>
  <c r="M19" i="1" s="1"/>
  <c r="D19" i="1" s="1"/>
  <c r="J18" i="1"/>
  <c r="K18" i="1"/>
  <c r="J19" i="1"/>
  <c r="L18" i="1"/>
  <c r="M18" i="1" s="1"/>
  <c r="D17" i="1" l="1"/>
  <c r="D16" i="1"/>
  <c r="D11" i="1"/>
  <c r="D8" i="1"/>
  <c r="E17" i="1"/>
  <c r="E16" i="1"/>
  <c r="E11" i="1"/>
  <c r="E8" i="1"/>
  <c r="F8" i="1"/>
  <c r="E18" i="1"/>
  <c r="D18" i="1"/>
  <c r="E9" i="1"/>
  <c r="E13" i="1"/>
  <c r="E19" i="1"/>
  <c r="E14" i="1"/>
  <c r="D14" i="1"/>
  <c r="E12" i="1"/>
  <c r="E15" i="1"/>
  <c r="E10" i="1"/>
  <c r="M10" i="1"/>
  <c r="D10" i="1" s="1"/>
  <c r="M15" i="1"/>
  <c r="D15" i="1" s="1"/>
  <c r="M12" i="1"/>
  <c r="D12" i="1" s="1"/>
  <c r="B9" i="1" l="1"/>
  <c r="F9" i="1" s="1"/>
  <c r="B10" i="1" s="1"/>
  <c r="F10" i="1" s="1"/>
  <c r="B11" i="1" s="1"/>
  <c r="F11" i="1" s="1"/>
  <c r="B12" i="1" s="1"/>
  <c r="F12" i="1" s="1"/>
  <c r="B13" i="1" s="1"/>
  <c r="F13" i="1" s="1"/>
  <c r="B14" i="1" l="1"/>
  <c r="F14" i="1" s="1"/>
  <c r="B15" i="1" l="1"/>
  <c r="F15" i="1" s="1"/>
  <c r="B16" i="1" l="1"/>
  <c r="F16" i="1" s="1"/>
  <c r="B17" i="1" l="1"/>
  <c r="F17" i="1" s="1"/>
  <c r="B18" i="1" l="1"/>
  <c r="F18" i="1" s="1"/>
  <c r="B19" i="1" l="1"/>
  <c r="F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Wenhui Hou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Wenhui Hou: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每期本息和相等</t>
        </r>
      </text>
    </comment>
    <comment ref="L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Wenhui Hou: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每个月按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宋体"/>
            <family val="3"/>
            <charset val="134"/>
          </rPr>
          <t>天算，一年按</t>
        </r>
        <r>
          <rPr>
            <sz val="9"/>
            <color indexed="81"/>
            <rFont val="Tahoma"/>
            <family val="2"/>
          </rPr>
          <t>360</t>
        </r>
        <r>
          <rPr>
            <sz val="9"/>
            <color indexed="81"/>
            <rFont val="宋体"/>
            <family val="3"/>
            <charset val="134"/>
          </rPr>
          <t>天算</t>
        </r>
      </text>
    </comment>
    <comment ref="J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Wenhui Hou: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计划偿还金额本金部分</t>
        </r>
      </text>
    </comment>
    <comment ref="K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Wenhui Hou: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计划偿还金额利息部分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Wenhui Hou</author>
  </authors>
  <commentList>
    <comment ref="H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Wenhui Hou: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每期本息和相等</t>
        </r>
      </text>
    </comment>
    <comment ref="L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Wenhui Hou: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每个月按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宋体"/>
            <family val="3"/>
            <charset val="134"/>
          </rPr>
          <t>天算，一年按</t>
        </r>
        <r>
          <rPr>
            <sz val="9"/>
            <color indexed="81"/>
            <rFont val="Tahoma"/>
            <family val="2"/>
          </rPr>
          <t>360</t>
        </r>
        <r>
          <rPr>
            <sz val="9"/>
            <color indexed="81"/>
            <rFont val="宋体"/>
            <family val="3"/>
            <charset val="134"/>
          </rPr>
          <t>天算</t>
        </r>
      </text>
    </comment>
  </commentList>
</comments>
</file>

<file path=xl/sharedStrings.xml><?xml version="1.0" encoding="utf-8"?>
<sst xmlns="http://schemas.openxmlformats.org/spreadsheetml/2006/main" count="45" uniqueCount="31">
  <si>
    <t>Interest</t>
  </si>
  <si>
    <t>Principal</t>
  </si>
  <si>
    <t>Performing</t>
  </si>
  <si>
    <t>Loss</t>
  </si>
  <si>
    <t>PaymentDate</t>
    <phoneticPr fontId="1" type="noConversion"/>
  </si>
  <si>
    <t>CDR</t>
    <phoneticPr fontId="1" type="noConversion"/>
  </si>
  <si>
    <t>CPR</t>
    <phoneticPr fontId="1" type="noConversion"/>
  </si>
  <si>
    <t>SUR_CDR</t>
    <phoneticPr fontId="1" type="noConversion"/>
  </si>
  <si>
    <t>SUR_CPR</t>
    <phoneticPr fontId="1" type="noConversion"/>
  </si>
  <si>
    <t>As of Date</t>
    <phoneticPr fontId="1" type="noConversion"/>
  </si>
  <si>
    <t>Asset Payment Date</t>
    <phoneticPr fontId="1" type="noConversion"/>
  </si>
  <si>
    <t>Prepay Interest</t>
    <phoneticPr fontId="1" type="noConversion"/>
  </si>
  <si>
    <t xml:space="preserve">Coupon </t>
    <phoneticPr fontId="1" type="noConversion"/>
  </si>
  <si>
    <t>Days</t>
    <phoneticPr fontId="1" type="noConversion"/>
  </si>
  <si>
    <t>Scheduled Principal</t>
    <phoneticPr fontId="1" type="noConversion"/>
  </si>
  <si>
    <t>Scheduled Interest</t>
    <phoneticPr fontId="1" type="noConversion"/>
  </si>
  <si>
    <t>Prepay Principal</t>
    <phoneticPr fontId="1" type="noConversion"/>
  </si>
  <si>
    <t>Orig Balance</t>
    <phoneticPr fontId="1" type="noConversion"/>
  </si>
  <si>
    <t>Begin Bal</t>
    <phoneticPr fontId="1" type="noConversion"/>
  </si>
  <si>
    <t>Payment Method</t>
    <phoneticPr fontId="1" type="noConversion"/>
  </si>
  <si>
    <t>Equal Payment</t>
    <phoneticPr fontId="1" type="noConversion"/>
  </si>
  <si>
    <t>Frequency</t>
    <phoneticPr fontId="1" type="noConversion"/>
  </si>
  <si>
    <t>Monthly</t>
    <phoneticPr fontId="1" type="noConversion"/>
  </si>
  <si>
    <t>Accrual Method</t>
    <phoneticPr fontId="1" type="noConversion"/>
  </si>
  <si>
    <t>30/360</t>
    <phoneticPr fontId="1" type="noConversion"/>
  </si>
  <si>
    <t>Term</t>
    <phoneticPr fontId="1" type="noConversion"/>
  </si>
  <si>
    <t>1 year</t>
    <phoneticPr fontId="1" type="noConversion"/>
  </si>
  <si>
    <t>Loss</t>
    <phoneticPr fontId="1" type="noConversion"/>
  </si>
  <si>
    <t>Interest</t>
    <phoneticPr fontId="1" type="noConversion"/>
  </si>
  <si>
    <t>Principal</t>
    <phoneticPr fontId="1" type="noConversion"/>
  </si>
  <si>
    <t>Performing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</si>
</sst>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#,##0.000000000"/>
    <numFmt numFmtId="177" formatCode="0.000"/>
    <numFmt numFmtId="178" formatCode="0.0000"/>
    <numFmt numFmtId="179" formatCode="#,##0.00_ "/>
    <numFmt numFmtId="180" formatCode="0.00_);[Red]\(0.00\)"/>
    <numFmt numFmtId="181" formatCode="0_);[Red]\(0\)"/>
    <numFmt numFmtId="182" formatCode="#,##0.0000000"/>
    <numFmt numFmtId="183" formatCode="#,##0.000000_ "/>
    <numFmt numFmtId="184" formatCode="#,##0.0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3" fillId="0" borderId="0" xfId="0" applyFont="1">
      <alignment vertical="center"/>
    </xf>
    <xf numFmtId="4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14" fontId="3" fillId="0" borderId="0" xfId="0" applyNumberFormat="1" applyFont="1">
      <alignment vertical="center"/>
    </xf>
    <xf numFmtId="43" fontId="3" fillId="0" borderId="0" xfId="1" applyFont="1">
      <alignment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9" fontId="3" fillId="0" borderId="0" xfId="0" applyNumberFormat="1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3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182" fontId="0" fillId="0" borderId="0" xfId="0" applyNumberFormat="1">
      <alignment vertical="center"/>
    </xf>
    <xf numFmtId="43" fontId="3" fillId="0" borderId="0" xfId="1" applyNumberFormat="1" applyFont="1">
      <alignment vertical="center"/>
    </xf>
    <xf numFmtId="43" fontId="3" fillId="0" borderId="0" xfId="0" applyNumberFormat="1" applyFont="1">
      <alignment vertical="center"/>
    </xf>
    <xf numFmtId="43" fontId="0" fillId="0" borderId="0" xfId="0" applyNumberFormat="1">
      <alignment vertical="center"/>
    </xf>
    <xf numFmtId="0" fontId="3" fillId="0" borderId="0" xfId="0" applyFont="1" applyFill="1">
      <alignment vertical="center"/>
    </xf>
    <xf numFmtId="14" fontId="3" fillId="0" borderId="0" xfId="0" applyNumberFormat="1" applyFont="1" applyFill="1">
      <alignment vertical="center"/>
    </xf>
    <xf numFmtId="43" fontId="3" fillId="0" borderId="0" xfId="1" applyFont="1" applyFill="1">
      <alignment vertical="center"/>
    </xf>
    <xf numFmtId="184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37"/>
  <sheetViews>
    <sheetView tabSelected="1" topLeftCell="A7" workbookViewId="0">
      <selection activeCell="C37" sqref="C37"/>
    </sheetView>
  </sheetViews>
  <sheetFormatPr defaultRowHeight="14.25" x14ac:dyDescent="0.2"/>
  <cols>
    <col min="1" max="1" width="17.625" style="2" bestFit="1" customWidth="1"/>
    <col min="2" max="3" width="16.625" style="2" bestFit="1" customWidth="1"/>
    <col min="4" max="4" width="16.125" style="2" bestFit="1" customWidth="1"/>
    <col min="5" max="5" width="14" style="2" bestFit="1" customWidth="1"/>
    <col min="6" max="6" width="17.75" style="2" bestFit="1" customWidth="1"/>
    <col min="7" max="7" width="16.25" style="2" bestFit="1" customWidth="1"/>
    <col min="8" max="8" width="14" style="2" customWidth="1"/>
    <col min="9" max="9" width="16.5" style="2" bestFit="1" customWidth="1"/>
    <col min="10" max="10" width="16.125" style="2" bestFit="1" customWidth="1"/>
    <col min="11" max="11" width="18" style="2" bestFit="1" customWidth="1"/>
    <col min="12" max="12" width="17.375" style="2" bestFit="1" customWidth="1"/>
    <col min="13" max="13" width="14" style="2" bestFit="1" customWidth="1"/>
    <col min="14" max="14" width="14" style="2" customWidth="1"/>
    <col min="15" max="15" width="15.125" style="2" bestFit="1" customWidth="1"/>
    <col min="16" max="16" width="15.5" style="2" bestFit="1" customWidth="1"/>
    <col min="17" max="17" width="19" style="2" bestFit="1" customWidth="1"/>
    <col min="18" max="16384" width="9" style="2"/>
  </cols>
  <sheetData>
    <row r="2" spans="1:16" x14ac:dyDescent="0.2">
      <c r="A2" s="14" t="s">
        <v>5</v>
      </c>
      <c r="B2" s="2">
        <v>0.1</v>
      </c>
      <c r="D2" s="14" t="s">
        <v>6</v>
      </c>
      <c r="E2" s="2">
        <v>0.1</v>
      </c>
    </row>
    <row r="3" spans="1:16" s="19" customFormat="1" x14ac:dyDescent="0.2"/>
    <row r="4" spans="1:16" s="19" customFormat="1" x14ac:dyDescent="0.2">
      <c r="A4" s="14" t="s">
        <v>9</v>
      </c>
      <c r="B4" s="5">
        <v>42825</v>
      </c>
      <c r="C4" s="14" t="s">
        <v>12</v>
      </c>
      <c r="D4" s="2">
        <v>4.02E-2</v>
      </c>
      <c r="E4" s="14" t="s">
        <v>17</v>
      </c>
      <c r="F4" s="21">
        <v>10000000000</v>
      </c>
      <c r="G4" s="14" t="s">
        <v>19</v>
      </c>
      <c r="H4" s="20" t="s">
        <v>20</v>
      </c>
      <c r="I4" s="14" t="s">
        <v>21</v>
      </c>
      <c r="J4" s="19" t="s">
        <v>22</v>
      </c>
      <c r="K4" s="14" t="s">
        <v>23</v>
      </c>
      <c r="L4" s="19" t="s">
        <v>24</v>
      </c>
      <c r="M4" s="14" t="s">
        <v>25</v>
      </c>
      <c r="N4" s="19" t="s">
        <v>26</v>
      </c>
    </row>
    <row r="5" spans="1:16" x14ac:dyDescent="0.2">
      <c r="A5" s="19"/>
      <c r="B5" s="19"/>
      <c r="C5" s="19"/>
      <c r="D5" s="19"/>
      <c r="E5" s="19"/>
      <c r="F5"/>
      <c r="G5" s="12"/>
      <c r="H5" s="12"/>
      <c r="I5"/>
    </row>
    <row r="6" spans="1:16" x14ac:dyDescent="0.2">
      <c r="A6" t="s">
        <v>10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13</v>
      </c>
      <c r="H6" s="2" t="s">
        <v>7</v>
      </c>
      <c r="I6" s="2" t="s">
        <v>8</v>
      </c>
      <c r="J6" s="2" t="s">
        <v>14</v>
      </c>
      <c r="K6" s="2" t="s">
        <v>15</v>
      </c>
      <c r="L6" s="2" t="s">
        <v>16</v>
      </c>
      <c r="M6" s="2" t="s">
        <v>11</v>
      </c>
    </row>
    <row r="7" spans="1:16" x14ac:dyDescent="0.2">
      <c r="A7" s="5">
        <v>42825</v>
      </c>
      <c r="B7" s="1">
        <v>10000000000</v>
      </c>
      <c r="C7">
        <v>0</v>
      </c>
      <c r="D7">
        <v>0</v>
      </c>
      <c r="E7">
        <v>0</v>
      </c>
      <c r="F7" s="1">
        <v>10000000000</v>
      </c>
      <c r="G7" s="4"/>
      <c r="H7" s="2">
        <v>1</v>
      </c>
      <c r="I7" s="2">
        <v>1</v>
      </c>
      <c r="J7" s="2">
        <v>0</v>
      </c>
      <c r="K7" s="2">
        <v>0</v>
      </c>
      <c r="L7" s="2">
        <v>0</v>
      </c>
      <c r="P7" s="13"/>
    </row>
    <row r="8" spans="1:16" x14ac:dyDescent="0.2">
      <c r="A8" s="4">
        <v>42855</v>
      </c>
      <c r="B8" s="1">
        <f t="shared" ref="B8:B19" si="0">F7</f>
        <v>10000000000</v>
      </c>
      <c r="C8" s="1">
        <f>(I7+I8)*(H7-H8)/2*'0cpr 0cdr'!F7</f>
        <v>88688285.684147462</v>
      </c>
      <c r="D8" s="1">
        <f>M8+K8</f>
        <v>33054341.364437159</v>
      </c>
      <c r="E8" s="1">
        <f>J8+L8</f>
        <v>892267701.3129853</v>
      </c>
      <c r="F8" s="22">
        <f t="shared" ref="F8:F19" si="1">B8-J8-L8-C8</f>
        <v>9019044013.0028687</v>
      </c>
      <c r="G8" s="12">
        <f>A8-$B$4+1</f>
        <v>31</v>
      </c>
      <c r="H8" s="7">
        <f t="shared" ref="H8:H19" si="2">(1-$B$2)^(G8/365)</f>
        <v>0.99109149066227509</v>
      </c>
      <c r="I8" s="7">
        <f t="shared" ref="I8:I19" si="3">(1-$E$2)^(G8/365)</f>
        <v>0.99109149066227509</v>
      </c>
      <c r="J8" s="3">
        <f>'0cpr 0cdr'!E8*H8*I8</f>
        <v>803579415.62883782</v>
      </c>
      <c r="K8" s="3">
        <f>'0cpr 0cdr'!D8*I8*H8</f>
        <v>32905788.485916212</v>
      </c>
      <c r="L8" s="16">
        <f>(I7-I8)*(H7+H8)/2*'0cpr 0cdr'!F7</f>
        <v>88688285.684147462</v>
      </c>
      <c r="M8" s="16">
        <f t="shared" ref="M8:M19" si="4">L8*$D$4*30/360/2</f>
        <v>148552.87852094698</v>
      </c>
      <c r="N8" s="6"/>
      <c r="O8" s="1"/>
    </row>
    <row r="9" spans="1:16" x14ac:dyDescent="0.2">
      <c r="A9" s="5">
        <v>42886</v>
      </c>
      <c r="B9" s="1">
        <f t="shared" si="0"/>
        <v>9019044013.0028687</v>
      </c>
      <c r="C9" s="1">
        <f>(I8+I9)*(H8-H9)/2*'0cpr 0cdr'!F8</f>
        <v>79988355.202309966</v>
      </c>
      <c r="D9" s="1">
        <f>M9+K9</f>
        <v>29811855.95601565</v>
      </c>
      <c r="E9" s="1">
        <f>J9+L9</f>
        <v>871958396.10539401</v>
      </c>
      <c r="F9" s="22">
        <f t="shared" si="1"/>
        <v>8067097261.6951656</v>
      </c>
      <c r="G9" s="12">
        <f t="shared" ref="G9:G19" si="5">A9-$B$4+1</f>
        <v>62</v>
      </c>
      <c r="H9" s="7">
        <f t="shared" si="2"/>
        <v>0.98226234286317049</v>
      </c>
      <c r="I9" s="7">
        <f>(1-$E$2)^(G9/365)</f>
        <v>0.98226234286317049</v>
      </c>
      <c r="J9" s="3">
        <f>'0cpr 0cdr'!E9*H9*I9</f>
        <v>791970040.90308404</v>
      </c>
      <c r="K9" s="3">
        <f>'0cpr 0cdr'!D9*I9*H9</f>
        <v>29677875.461051781</v>
      </c>
      <c r="L9" s="16">
        <f>(I8-I9)*(H8+H9)/2*'0cpr 0cdr'!F8</f>
        <v>79988355.202309966</v>
      </c>
      <c r="M9" s="16">
        <f t="shared" si="4"/>
        <v>133980.49496386919</v>
      </c>
      <c r="N9" s="6"/>
      <c r="O9" s="1"/>
    </row>
    <row r="10" spans="1:16" x14ac:dyDescent="0.2">
      <c r="A10" s="4">
        <v>42916</v>
      </c>
      <c r="B10" s="1">
        <f t="shared" si="0"/>
        <v>8067097261.6951656</v>
      </c>
      <c r="C10" s="1">
        <f>(I9+I10)*(H9-H10)/2*'0cpr 0cdr'!F9</f>
        <v>69257707.085272059</v>
      </c>
      <c r="D10" s="1">
        <f t="shared" ref="D10:D18" si="6">M10+K10</f>
        <v>26676755.852637701</v>
      </c>
      <c r="E10" s="1">
        <f t="shared" ref="E10:E19" si="7">J10+L10</f>
        <v>850236837.91183221</v>
      </c>
      <c r="F10" s="22">
        <f t="shared" si="1"/>
        <v>7147602716.6980619</v>
      </c>
      <c r="G10" s="12">
        <f t="shared" si="5"/>
        <v>92</v>
      </c>
      <c r="H10" s="7">
        <f t="shared" si="2"/>
        <v>0.97379290307743382</v>
      </c>
      <c r="I10" s="7">
        <f t="shared" si="3"/>
        <v>0.97379290307743382</v>
      </c>
      <c r="J10" s="3">
        <f>'0cpr 0cdr'!E10*H10*I10</f>
        <v>780979130.82656014</v>
      </c>
      <c r="K10" s="3">
        <f>'0cpr 0cdr'!D10*I10*H10</f>
        <v>26560749.193269871</v>
      </c>
      <c r="L10" s="16">
        <f>(I9-I10)*(H9+H10)/2*'0cpr 0cdr'!F9</f>
        <v>69257707.085272059</v>
      </c>
      <c r="M10" s="16">
        <f t="shared" si="4"/>
        <v>116006.6593678307</v>
      </c>
      <c r="N10" s="6"/>
      <c r="O10" s="1"/>
      <c r="P10" s="17"/>
    </row>
    <row r="11" spans="1:16" x14ac:dyDescent="0.2">
      <c r="A11" s="5">
        <v>42947</v>
      </c>
      <c r="B11" s="1">
        <f t="shared" si="0"/>
        <v>7147602716.6980619</v>
      </c>
      <c r="C11" s="1">
        <f>(I10+I11)*(H10-H11)/2*'0cpr 0cdr'!F10</f>
        <v>63390863.169530928</v>
      </c>
      <c r="D11" s="1">
        <f t="shared" si="6"/>
        <v>23625930.01119788</v>
      </c>
      <c r="E11" s="1">
        <f t="shared" si="7"/>
        <v>833087127.34854937</v>
      </c>
      <c r="F11" s="22">
        <f t="shared" si="1"/>
        <v>6251124726.1799822</v>
      </c>
      <c r="G11" s="12">
        <f t="shared" si="5"/>
        <v>123</v>
      </c>
      <c r="H11" s="7">
        <f t="shared" si="2"/>
        <v>0.96511785990735821</v>
      </c>
      <c r="I11" s="7">
        <f t="shared" si="3"/>
        <v>0.96511785990735821</v>
      </c>
      <c r="J11" s="3">
        <f>'0cpr 0cdr'!E11*H11*I11</f>
        <v>769696264.17901838</v>
      </c>
      <c r="K11" s="3">
        <f>'0cpr 0cdr'!D11*I11*H11</f>
        <v>23519750.315388914</v>
      </c>
      <c r="L11" s="16">
        <f>(I10-I11)*(H10+H11)/2*'0cpr 0cdr'!F10</f>
        <v>63390863.169530928</v>
      </c>
      <c r="M11" s="16">
        <f t="shared" si="4"/>
        <v>106179.6958089643</v>
      </c>
      <c r="N11" s="6"/>
      <c r="O11" s="1"/>
    </row>
    <row r="12" spans="1:16" x14ac:dyDescent="0.2">
      <c r="A12" s="4">
        <v>42978</v>
      </c>
      <c r="B12" s="1">
        <f t="shared" si="0"/>
        <v>6251124726.1799822</v>
      </c>
      <c r="C12" s="1">
        <f>(I11+I12)*(H11-H12)/2*'0cpr 0cdr'!F11</f>
        <v>55440153.556268655</v>
      </c>
      <c r="D12" s="1">
        <f t="shared" si="6"/>
        <v>20662681.057767425</v>
      </c>
      <c r="E12" s="1">
        <f t="shared" si="7"/>
        <v>814016555.54957116</v>
      </c>
      <c r="F12" s="22">
        <f t="shared" si="1"/>
        <v>5381668017.0741425</v>
      </c>
      <c r="G12" s="12">
        <f t="shared" si="5"/>
        <v>154</v>
      </c>
      <c r="H12" s="7">
        <f t="shared" si="2"/>
        <v>0.95652009844036845</v>
      </c>
      <c r="I12" s="7">
        <f t="shared" si="3"/>
        <v>0.95652009844036845</v>
      </c>
      <c r="J12" s="3">
        <f>'0cpr 0cdr'!E12*H12*I12</f>
        <v>758576401.99330246</v>
      </c>
      <c r="K12" s="3">
        <f>'0cpr 0cdr'!D12*I12*H12</f>
        <v>20569818.800560676</v>
      </c>
      <c r="L12" s="16">
        <f>(I11-I12)*(H11+H12)/2*'0cpr 0cdr'!F11</f>
        <v>55440153.556268655</v>
      </c>
      <c r="M12" s="16">
        <f t="shared" si="4"/>
        <v>92862.257206750015</v>
      </c>
      <c r="N12" s="6"/>
      <c r="O12" s="1"/>
    </row>
    <row r="13" spans="1:16" x14ac:dyDescent="0.2">
      <c r="A13" s="5">
        <v>43008</v>
      </c>
      <c r="B13" s="1">
        <f t="shared" si="0"/>
        <v>5381668017.0741425</v>
      </c>
      <c r="C13" s="1">
        <f>(I12+I13)*(H12-H13)/2*'0cpr 0cdr'!F12</f>
        <v>46202738.738069989</v>
      </c>
      <c r="D13" s="1">
        <f t="shared" si="6"/>
        <v>17796419.098375224</v>
      </c>
      <c r="E13" s="1">
        <f t="shared" si="7"/>
        <v>794251665.46070528</v>
      </c>
      <c r="F13" s="22">
        <f t="shared" si="1"/>
        <v>4541213612.8753681</v>
      </c>
      <c r="G13" s="12">
        <f t="shared" si="5"/>
        <v>184</v>
      </c>
      <c r="H13" s="7">
        <f t="shared" si="2"/>
        <v>0.94827261808397634</v>
      </c>
      <c r="I13" s="7">
        <f t="shared" si="3"/>
        <v>0.94827261808397634</v>
      </c>
      <c r="J13" s="3">
        <f>'0cpr 0cdr'!E13*H13*I13</f>
        <v>748048926.72263527</v>
      </c>
      <c r="K13" s="3">
        <f>'0cpr 0cdr'!D13*I13*H13</f>
        <v>17719029.510988958</v>
      </c>
      <c r="L13" s="16">
        <f>(I12-I13)*(H12+H13)/2*'0cpr 0cdr'!F12</f>
        <v>46202738.738069989</v>
      </c>
      <c r="M13" s="16">
        <f t="shared" si="4"/>
        <v>77389.587386267231</v>
      </c>
      <c r="N13" s="6"/>
      <c r="O13" s="1"/>
      <c r="P13" s="17"/>
    </row>
    <row r="14" spans="1:16" x14ac:dyDescent="0.2">
      <c r="A14" s="4">
        <v>43039</v>
      </c>
      <c r="B14" s="1">
        <f t="shared" si="0"/>
        <v>4541213612.8753681</v>
      </c>
      <c r="C14" s="1">
        <f>(I13+I14)*(H13-H14)/2*'0cpr 0cdr'!F13</f>
        <v>40275245.025142767</v>
      </c>
      <c r="D14" s="1">
        <f t="shared" si="6"/>
        <v>15010682.493414287</v>
      </c>
      <c r="E14" s="1">
        <f t="shared" si="7"/>
        <v>777517050.33789456</v>
      </c>
      <c r="F14" s="22">
        <f t="shared" si="1"/>
        <v>3723421317.512331</v>
      </c>
      <c r="G14" s="12">
        <f t="shared" si="5"/>
        <v>215</v>
      </c>
      <c r="H14" s="7">
        <f t="shared" si="2"/>
        <v>0.93982492261106643</v>
      </c>
      <c r="I14" s="7">
        <f t="shared" si="3"/>
        <v>0.93982492261106643</v>
      </c>
      <c r="J14" s="3">
        <f>'0cpr 0cdr'!E14*H14*I14</f>
        <v>737241805.31275177</v>
      </c>
      <c r="K14" s="3">
        <f>'0cpr 0cdr'!D14*I14*H14</f>
        <v>14943221.457997173</v>
      </c>
      <c r="L14" s="16">
        <f>(I13-I14)*(H13+H14)/2*'0cpr 0cdr'!F13</f>
        <v>40275245.025142767</v>
      </c>
      <c r="M14" s="16">
        <f t="shared" si="4"/>
        <v>67461.035417114137</v>
      </c>
      <c r="N14" s="6"/>
      <c r="O14" s="1"/>
    </row>
    <row r="15" spans="1:16" x14ac:dyDescent="0.2">
      <c r="A15" s="5">
        <v>43069</v>
      </c>
      <c r="B15" s="1">
        <f t="shared" si="0"/>
        <v>3723421317.512331</v>
      </c>
      <c r="C15" s="1">
        <f>(I14+I15)*(H14-H15)/2*'0cpr 0cdr'!F14</f>
        <v>31966346.084333651</v>
      </c>
      <c r="D15" s="1">
        <f t="shared" si="6"/>
        <v>12312830.528137855</v>
      </c>
      <c r="E15" s="1">
        <f t="shared" si="7"/>
        <v>758976756.30755377</v>
      </c>
      <c r="F15" s="22">
        <f t="shared" si="1"/>
        <v>2932478215.1204443</v>
      </c>
      <c r="G15" s="12">
        <f t="shared" si="5"/>
        <v>245</v>
      </c>
      <c r="H15" s="7">
        <f t="shared" si="2"/>
        <v>0.93172139441513935</v>
      </c>
      <c r="I15" s="7">
        <f t="shared" si="3"/>
        <v>0.93172139441513935</v>
      </c>
      <c r="J15" s="3">
        <f>'0cpr 0cdr'!E15*H15*I15</f>
        <v>727010410.22322011</v>
      </c>
      <c r="K15" s="3">
        <f>'0cpr 0cdr'!D15*I15*H15</f>
        <v>12259286.898446597</v>
      </c>
      <c r="L15" s="16">
        <f>(I14-I15)*(H14+H15)/2*'0cpr 0cdr'!F14</f>
        <v>31966346.084333651</v>
      </c>
      <c r="M15" s="16">
        <f t="shared" si="4"/>
        <v>53543.629691258873</v>
      </c>
      <c r="N15" s="6"/>
      <c r="O15" s="1"/>
    </row>
    <row r="16" spans="1:16" x14ac:dyDescent="0.2">
      <c r="A16" s="4">
        <v>43100</v>
      </c>
      <c r="B16" s="1">
        <f t="shared" si="0"/>
        <v>2932478215.1204443</v>
      </c>
      <c r="C16" s="1">
        <f>(I15+I16)*(H15-H16)/2*'0cpr 0cdr'!F15</f>
        <v>26007646.570514183</v>
      </c>
      <c r="D16" s="1">
        <f t="shared" si="6"/>
        <v>9693113.5990246404</v>
      </c>
      <c r="E16" s="1">
        <f t="shared" si="7"/>
        <v>742514880.48196983</v>
      </c>
      <c r="F16" s="22">
        <f t="shared" si="1"/>
        <v>2163955688.0679603</v>
      </c>
      <c r="G16" s="12">
        <f t="shared" si="5"/>
        <v>276</v>
      </c>
      <c r="H16" s="7">
        <f t="shared" si="2"/>
        <v>0.92342114567283395</v>
      </c>
      <c r="I16" s="7">
        <f t="shared" si="3"/>
        <v>0.92342114567283395</v>
      </c>
      <c r="J16" s="3">
        <f>'0cpr 0cdr'!E16*H16*I16</f>
        <v>716507233.91145563</v>
      </c>
      <c r="K16" s="3">
        <f>'0cpr 0cdr'!D16*I16*H16</f>
        <v>9649550.7910190299</v>
      </c>
      <c r="L16" s="16">
        <f>(I15-I16)*(H15+H16)/2*'0cpr 0cdr'!F15</f>
        <v>26007646.570514183</v>
      </c>
      <c r="M16" s="16">
        <f t="shared" si="4"/>
        <v>43562.808005611259</v>
      </c>
      <c r="N16" s="6"/>
      <c r="O16" s="1"/>
    </row>
    <row r="17" spans="1:17" x14ac:dyDescent="0.2">
      <c r="A17" s="5">
        <v>43131</v>
      </c>
      <c r="B17" s="1">
        <f t="shared" si="0"/>
        <v>2163955688.0679603</v>
      </c>
      <c r="C17" s="1">
        <f>(I16+I17)*(H16-H17)/2*'0cpr 0cdr'!F16</f>
        <v>19191752.027196277</v>
      </c>
      <c r="D17" s="1">
        <f t="shared" si="6"/>
        <v>7152813.0028026747</v>
      </c>
      <c r="E17" s="1">
        <f t="shared" si="7"/>
        <v>725347549.8368789</v>
      </c>
      <c r="F17" s="22">
        <f t="shared" si="1"/>
        <v>1419416386.2038853</v>
      </c>
      <c r="G17" s="12">
        <f t="shared" si="5"/>
        <v>307</v>
      </c>
      <c r="H17" s="7">
        <f t="shared" si="2"/>
        <v>0.91519483977395488</v>
      </c>
      <c r="I17" s="7">
        <f t="shared" si="3"/>
        <v>0.91519483977395488</v>
      </c>
      <c r="J17" s="3">
        <f>'0cpr 0cdr'!E17*H17*I17</f>
        <v>706155797.80968261</v>
      </c>
      <c r="K17" s="3">
        <f>'0cpr 0cdr'!D17*I17*H17</f>
        <v>7120666.8181571206</v>
      </c>
      <c r="L17" s="16">
        <f>(I16-I17)*(H16+H17)/2*'0cpr 0cdr'!F16</f>
        <v>19191752.027196277</v>
      </c>
      <c r="M17" s="16">
        <f t="shared" si="4"/>
        <v>32146.184645553767</v>
      </c>
      <c r="N17" s="6"/>
      <c r="O17" s="1"/>
    </row>
    <row r="18" spans="1:17" x14ac:dyDescent="0.2">
      <c r="A18" s="4">
        <v>43159</v>
      </c>
      <c r="B18" s="1">
        <f t="shared" si="0"/>
        <v>1419416386.2038853</v>
      </c>
      <c r="C18" s="1">
        <f>(I17+I18)*(H17-H18)/2*'0cpr 0cdr'!F17</f>
        <v>11380135.516103227</v>
      </c>
      <c r="D18" s="1">
        <f t="shared" si="6"/>
        <v>4385939.846793917</v>
      </c>
      <c r="E18" s="1">
        <f t="shared" si="7"/>
        <v>708852369.44372916</v>
      </c>
      <c r="F18" s="22">
        <f t="shared" si="1"/>
        <v>699183881.24405289</v>
      </c>
      <c r="G18" s="12">
        <f t="shared" si="5"/>
        <v>335</v>
      </c>
      <c r="H18" s="7">
        <f t="shared" si="2"/>
        <v>0.90782763540694744</v>
      </c>
      <c r="I18" s="7">
        <f t="shared" si="3"/>
        <v>0.90782763540694744</v>
      </c>
      <c r="J18" s="3">
        <f>'0cpr 0cdr'!E18*H18*I18</f>
        <v>697472233.92762589</v>
      </c>
      <c r="K18" s="3">
        <f>'0cpr 0cdr'!D18*I18*H18</f>
        <v>4366878.1198044438</v>
      </c>
      <c r="L18" s="16">
        <f>(I17-I18)*(H17+H18)/2*'0cpr 0cdr'!F17</f>
        <v>11380135.516103227</v>
      </c>
      <c r="M18" s="16">
        <f t="shared" si="4"/>
        <v>19061.726989472903</v>
      </c>
      <c r="N18" s="6"/>
      <c r="O18" s="1"/>
    </row>
    <row r="19" spans="1:17" x14ac:dyDescent="0.2">
      <c r="A19" s="5">
        <v>43190</v>
      </c>
      <c r="B19" s="1">
        <f t="shared" si="0"/>
        <v>699183881.24405289</v>
      </c>
      <c r="C19" s="1">
        <f>(I18+I19)*(H18-H19)/2*'0cpr 0cdr'!F18</f>
        <v>6200941.980627887</v>
      </c>
      <c r="D19" s="1">
        <f>M19+K19</f>
        <v>2541178.2372740433</v>
      </c>
      <c r="E19" s="1">
        <f t="shared" si="7"/>
        <v>692982939.27194667</v>
      </c>
      <c r="F19" s="22">
        <f t="shared" si="1"/>
        <v>-8.5216611623764038E-3</v>
      </c>
      <c r="G19" s="12">
        <f t="shared" si="5"/>
        <v>366</v>
      </c>
      <c r="H19" s="7">
        <f t="shared" si="2"/>
        <v>0.89974024443987999</v>
      </c>
      <c r="I19" s="7">
        <f t="shared" si="3"/>
        <v>0.89974024443987999</v>
      </c>
      <c r="J19" s="3">
        <f>'0cpr 0cdr'!E19*H19*I19</f>
        <v>686781997.29131877</v>
      </c>
      <c r="K19" s="3">
        <f>'0cpr 0cdr'!D19*I19*H19</f>
        <v>2530791.6594564915</v>
      </c>
      <c r="L19" s="16">
        <f>(I18-I19)*(H18+H19)/2*'0cpr 0cdr'!F18</f>
        <v>6200941.980627887</v>
      </c>
      <c r="M19" s="16">
        <f t="shared" si="4"/>
        <v>10386.57781755171</v>
      </c>
      <c r="N19" s="6"/>
      <c r="O19" s="1"/>
      <c r="P19" s="1"/>
    </row>
    <row r="20" spans="1:17" x14ac:dyDescent="0.2">
      <c r="A20" s="4"/>
      <c r="B20"/>
      <c r="C20"/>
      <c r="D20"/>
      <c r="E20"/>
      <c r="F20" s="18"/>
      <c r="G20" s="15"/>
      <c r="H20" s="15"/>
      <c r="I20" s="1"/>
    </row>
    <row r="21" spans="1:17" x14ac:dyDescent="0.2">
      <c r="A21" s="4"/>
      <c r="B21" s="4"/>
      <c r="C21"/>
      <c r="D21" s="1"/>
      <c r="E21"/>
      <c r="F21"/>
      <c r="G21" s="1"/>
      <c r="H21" s="1"/>
      <c r="I21" s="1"/>
    </row>
    <row r="22" spans="1:17" x14ac:dyDescent="0.2">
      <c r="A22" s="4"/>
      <c r="B22" s="4"/>
      <c r="C22"/>
      <c r="D22" s="1"/>
      <c r="E22" s="18"/>
      <c r="P22" s="5"/>
      <c r="Q22" s="5"/>
    </row>
    <row r="23" spans="1:17" x14ac:dyDescent="0.2">
      <c r="C23" s="3"/>
      <c r="F23" s="17">
        <f>'0cpr 0cdr'!F8*I8</f>
        <v>9100112449.7356853</v>
      </c>
    </row>
    <row r="24" spans="1:17" x14ac:dyDescent="0.2">
      <c r="F24" s="17">
        <f>'0cpr 0cdr'!F9*I9</f>
        <v>8212772606.3289719</v>
      </c>
    </row>
    <row r="25" spans="1:17" x14ac:dyDescent="0.2">
      <c r="A25" s="6"/>
      <c r="B25" s="6"/>
      <c r="C25" s="6"/>
      <c r="F25" s="17">
        <f>'0cpr 0cdr'!F10*I10</f>
        <v>7339961807.1869411</v>
      </c>
    </row>
    <row r="26" spans="1:17" x14ac:dyDescent="0.2">
      <c r="F26" s="17">
        <f>'0cpr 0cdr'!F11*I11</f>
        <v>6477058384.1231833</v>
      </c>
    </row>
    <row r="27" spans="1:17" x14ac:dyDescent="0.2">
      <c r="F27" s="17">
        <f>'0cpr 0cdr'!F12*I12</f>
        <v>5626298941.1817827</v>
      </c>
    </row>
    <row r="28" spans="1:17" x14ac:dyDescent="0.2">
      <c r="F28" s="17">
        <f>'0cpr 0cdr'!F13*I13</f>
        <v>4788932556.1789093</v>
      </c>
    </row>
    <row r="29" spans="1:17" x14ac:dyDescent="0.2">
      <c r="F29" s="17">
        <f>'0cpr 0cdr'!F14*I14</f>
        <v>3961824407.8564544</v>
      </c>
    </row>
    <row r="30" spans="1:17" x14ac:dyDescent="0.2">
      <c r="B30" s="3"/>
      <c r="C30" s="6"/>
      <c r="F30" s="17">
        <f>'0cpr 0cdr'!F15*I15</f>
        <v>3147376707.9924312</v>
      </c>
    </row>
    <row r="31" spans="1:17" x14ac:dyDescent="0.2">
      <c r="B31" s="3"/>
      <c r="F31" s="17">
        <f>'0cpr 0cdr'!F16*I16</f>
        <v>2343411452.3116698</v>
      </c>
    </row>
    <row r="32" spans="1:17" x14ac:dyDescent="0.2">
      <c r="F32" s="17">
        <f>'0cpr 0cdr'!F17*I17</f>
        <v>1550944481.4647231</v>
      </c>
    </row>
    <row r="33" spans="1:12" x14ac:dyDescent="0.2">
      <c r="F33" s="17">
        <f>'0cpr 0cdr'!F18*I18</f>
        <v>770172501.89696503</v>
      </c>
    </row>
    <row r="34" spans="1:12" x14ac:dyDescent="0.2">
      <c r="F34" s="17">
        <f>'0cpr 0cdr'!F19*I19</f>
        <v>0</v>
      </c>
    </row>
    <row r="35" spans="1:12" x14ac:dyDescent="0.2">
      <c r="A35" s="5"/>
      <c r="B35" s="5"/>
    </row>
    <row r="36" spans="1:12" x14ac:dyDescent="0.2">
      <c r="A36" s="5"/>
      <c r="B36" s="5"/>
      <c r="G36" s="8"/>
      <c r="H36" s="8"/>
      <c r="I36" s="9"/>
      <c r="J36" s="10"/>
      <c r="K36" s="10"/>
      <c r="L36" s="10"/>
    </row>
    <row r="37" spans="1:12" x14ac:dyDescent="0.2">
      <c r="A37" s="5"/>
      <c r="B37" s="5"/>
      <c r="D37" s="3"/>
      <c r="E37" s="7"/>
      <c r="G37" s="8"/>
      <c r="H37" s="8"/>
      <c r="I37" s="9"/>
      <c r="J37" s="10"/>
      <c r="K37" s="10"/>
      <c r="L37" s="10"/>
    </row>
    <row r="38" spans="1:12" x14ac:dyDescent="0.2">
      <c r="A38" s="5"/>
      <c r="B38" s="5"/>
      <c r="D38" s="10"/>
      <c r="E38" s="7"/>
      <c r="G38" s="8"/>
      <c r="H38" s="8"/>
      <c r="I38" s="9"/>
      <c r="J38" s="10"/>
      <c r="K38" s="10"/>
      <c r="L38" s="10"/>
    </row>
    <row r="39" spans="1:12" x14ac:dyDescent="0.2">
      <c r="A39" s="5"/>
      <c r="B39" s="5"/>
      <c r="D39" s="10"/>
      <c r="E39" s="7"/>
      <c r="G39" s="8"/>
      <c r="H39" s="8"/>
      <c r="I39" s="9"/>
      <c r="J39" s="10"/>
      <c r="K39" s="10"/>
      <c r="L39" s="10"/>
    </row>
    <row r="40" spans="1:12" x14ac:dyDescent="0.2">
      <c r="A40" s="5"/>
      <c r="B40" s="5"/>
      <c r="D40" s="10"/>
      <c r="E40" s="7"/>
      <c r="G40" s="3"/>
      <c r="H40" s="3"/>
      <c r="I40" s="3"/>
    </row>
    <row r="41" spans="1:12" x14ac:dyDescent="0.2">
      <c r="C41" s="3"/>
      <c r="D41" s="3"/>
      <c r="E41" s="3"/>
      <c r="F41" s="3"/>
      <c r="G41" s="3"/>
      <c r="H41" s="3"/>
      <c r="I41" s="3"/>
    </row>
    <row r="42" spans="1:12" x14ac:dyDescent="0.2">
      <c r="C42" s="3"/>
      <c r="D42" s="3"/>
      <c r="E42" s="3"/>
      <c r="F42" s="3"/>
      <c r="G42" s="3"/>
      <c r="H42" s="3"/>
      <c r="I42" s="3"/>
    </row>
    <row r="43" spans="1:12" x14ac:dyDescent="0.2">
      <c r="C43" s="3"/>
      <c r="D43" s="3"/>
      <c r="E43" s="3"/>
      <c r="F43" s="3"/>
      <c r="G43" s="3"/>
      <c r="H43" s="3"/>
      <c r="I43" s="3"/>
    </row>
    <row r="44" spans="1:12" x14ac:dyDescent="0.2">
      <c r="C44" s="3"/>
      <c r="D44" s="3"/>
      <c r="E44" s="3"/>
      <c r="F44" s="3"/>
      <c r="G44" s="3"/>
      <c r="H44" s="3"/>
      <c r="I44" s="3"/>
    </row>
    <row r="45" spans="1:12" x14ac:dyDescent="0.2">
      <c r="C45" s="3"/>
      <c r="D45" s="3"/>
      <c r="E45" s="3"/>
      <c r="F45" s="3"/>
      <c r="G45" s="3"/>
      <c r="H45" s="3"/>
      <c r="I45" s="3"/>
    </row>
    <row r="46" spans="1:12" x14ac:dyDescent="0.2">
      <c r="C46" s="3"/>
      <c r="D46" s="3"/>
      <c r="E46" s="3"/>
      <c r="F46" s="3"/>
      <c r="G46" s="3"/>
      <c r="H46" s="3"/>
      <c r="I46" s="3"/>
    </row>
    <row r="47" spans="1:12" x14ac:dyDescent="0.2">
      <c r="C47" s="3"/>
      <c r="D47" s="3"/>
      <c r="E47" s="3"/>
      <c r="F47" s="3"/>
      <c r="G47" s="3"/>
      <c r="H47" s="3"/>
      <c r="I47" s="3"/>
    </row>
    <row r="48" spans="1:12" x14ac:dyDescent="0.2">
      <c r="C48" s="3"/>
      <c r="D48" s="3"/>
      <c r="E48" s="3"/>
      <c r="F48" s="3"/>
      <c r="G48" s="3"/>
      <c r="H48" s="3"/>
      <c r="I48" s="3"/>
    </row>
    <row r="49" spans="3:9" x14ac:dyDescent="0.2">
      <c r="C49" s="3"/>
      <c r="D49" s="3"/>
      <c r="E49" s="3"/>
      <c r="F49" s="3"/>
      <c r="G49" s="3"/>
      <c r="H49" s="3"/>
      <c r="I49" s="3"/>
    </row>
    <row r="50" spans="3:9" x14ac:dyDescent="0.2">
      <c r="C50" s="3"/>
      <c r="D50" s="3"/>
      <c r="E50" s="3"/>
      <c r="F50" s="3"/>
      <c r="G50" s="3"/>
      <c r="H50" s="3"/>
      <c r="I50" s="3"/>
    </row>
    <row r="51" spans="3:9" x14ac:dyDescent="0.2">
      <c r="C51" s="3"/>
      <c r="D51" s="3"/>
      <c r="E51" s="3"/>
      <c r="F51" s="3"/>
      <c r="G51" s="3"/>
      <c r="H51" s="3"/>
      <c r="I51" s="3"/>
    </row>
    <row r="52" spans="3:9" x14ac:dyDescent="0.2">
      <c r="C52" s="3"/>
      <c r="D52" s="3"/>
      <c r="E52" s="3"/>
      <c r="F52" s="3"/>
      <c r="G52" s="3"/>
      <c r="H52" s="3"/>
      <c r="I52" s="3"/>
    </row>
    <row r="53" spans="3:9" x14ac:dyDescent="0.2">
      <c r="C53" s="3"/>
      <c r="D53" s="3"/>
      <c r="E53" s="3"/>
      <c r="F53" s="3"/>
      <c r="G53" s="3"/>
      <c r="H53" s="3"/>
      <c r="I53" s="3"/>
    </row>
    <row r="54" spans="3:9" x14ac:dyDescent="0.2">
      <c r="C54" s="3"/>
      <c r="D54" s="3"/>
      <c r="E54" s="3"/>
      <c r="F54" s="3"/>
      <c r="G54" s="3"/>
      <c r="H54" s="3"/>
      <c r="I54" s="3"/>
    </row>
    <row r="55" spans="3:9" x14ac:dyDescent="0.2">
      <c r="C55" s="3"/>
      <c r="D55" s="3"/>
      <c r="E55" s="3"/>
      <c r="F55" s="3"/>
      <c r="G55" s="3"/>
      <c r="H55" s="3"/>
      <c r="I55" s="3"/>
    </row>
    <row r="56" spans="3:9" x14ac:dyDescent="0.2">
      <c r="C56" s="3"/>
      <c r="D56" s="3"/>
      <c r="E56" s="3"/>
      <c r="F56" s="3"/>
      <c r="G56" s="3"/>
      <c r="H56" s="3"/>
      <c r="I56" s="3"/>
    </row>
    <row r="57" spans="3:9" x14ac:dyDescent="0.2">
      <c r="C57" s="3"/>
      <c r="D57" s="3"/>
      <c r="E57" s="3"/>
      <c r="F57" s="3"/>
      <c r="G57" s="3"/>
      <c r="H57" s="3"/>
      <c r="I57" s="3"/>
    </row>
    <row r="58" spans="3:9" x14ac:dyDescent="0.2">
      <c r="C58" s="3"/>
      <c r="D58" s="3"/>
      <c r="E58" s="3"/>
      <c r="F58" s="3"/>
      <c r="G58" s="3"/>
      <c r="H58" s="3"/>
      <c r="I58" s="3"/>
    </row>
    <row r="59" spans="3:9" x14ac:dyDescent="0.2">
      <c r="C59" s="3"/>
      <c r="D59" s="3"/>
      <c r="E59" s="3"/>
      <c r="F59" s="3"/>
      <c r="G59" s="3"/>
      <c r="H59" s="3"/>
      <c r="I59" s="3"/>
    </row>
    <row r="60" spans="3:9" x14ac:dyDescent="0.2">
      <c r="C60" s="3"/>
      <c r="D60" s="3"/>
      <c r="E60" s="3"/>
      <c r="F60" s="3"/>
      <c r="G60" s="3"/>
      <c r="H60" s="3"/>
      <c r="I60" s="3"/>
    </row>
    <row r="61" spans="3:9" x14ac:dyDescent="0.2">
      <c r="C61" s="3"/>
      <c r="D61" s="3"/>
      <c r="E61" s="3"/>
      <c r="F61" s="3"/>
      <c r="G61" s="3"/>
      <c r="H61" s="3"/>
      <c r="I61" s="3"/>
    </row>
    <row r="62" spans="3:9" x14ac:dyDescent="0.2">
      <c r="C62" s="3"/>
      <c r="D62" s="3"/>
      <c r="E62" s="3"/>
      <c r="F62" s="3"/>
      <c r="G62" s="3"/>
      <c r="H62" s="3"/>
      <c r="I62" s="3"/>
    </row>
    <row r="63" spans="3:9" x14ac:dyDescent="0.2">
      <c r="C63" s="3"/>
      <c r="D63" s="3"/>
      <c r="E63" s="3"/>
      <c r="F63" s="3"/>
      <c r="G63" s="3"/>
      <c r="H63" s="3"/>
      <c r="I63" s="3"/>
    </row>
    <row r="64" spans="3:9" x14ac:dyDescent="0.2">
      <c r="C64" s="3"/>
      <c r="D64" s="3"/>
      <c r="E64" s="3"/>
      <c r="F64" s="3"/>
      <c r="G64" s="3"/>
      <c r="H64" s="3"/>
      <c r="I64" s="3"/>
    </row>
    <row r="65" spans="3:9" x14ac:dyDescent="0.2">
      <c r="C65" s="3"/>
      <c r="D65" s="3"/>
      <c r="E65" s="3"/>
      <c r="F65" s="3"/>
      <c r="G65" s="3"/>
      <c r="H65" s="3"/>
      <c r="I65" s="3"/>
    </row>
    <row r="66" spans="3:9" x14ac:dyDescent="0.2">
      <c r="C66" s="3"/>
      <c r="D66" s="3"/>
      <c r="E66" s="3"/>
      <c r="F66" s="3"/>
      <c r="G66" s="3"/>
      <c r="H66" s="3"/>
      <c r="I66" s="3"/>
    </row>
    <row r="67" spans="3:9" x14ac:dyDescent="0.2">
      <c r="C67" s="3"/>
      <c r="D67" s="3"/>
      <c r="E67" s="3"/>
      <c r="F67" s="3"/>
      <c r="G67" s="3"/>
      <c r="H67" s="3"/>
      <c r="I67" s="3"/>
    </row>
    <row r="68" spans="3:9" x14ac:dyDescent="0.2">
      <c r="C68" s="3"/>
      <c r="D68" s="3"/>
      <c r="E68" s="3"/>
      <c r="F68" s="3"/>
      <c r="G68" s="3"/>
      <c r="H68" s="3"/>
      <c r="I68" s="3"/>
    </row>
    <row r="69" spans="3:9" x14ac:dyDescent="0.2">
      <c r="C69" s="3"/>
      <c r="D69" s="3"/>
      <c r="E69" s="3"/>
      <c r="F69" s="3"/>
      <c r="G69" s="3"/>
      <c r="H69" s="3"/>
      <c r="I69" s="3"/>
    </row>
    <row r="70" spans="3:9" x14ac:dyDescent="0.2">
      <c r="C70" s="3"/>
      <c r="D70" s="3"/>
      <c r="E70" s="3"/>
      <c r="F70" s="3"/>
      <c r="G70" s="3"/>
      <c r="H70" s="3"/>
      <c r="I70" s="3"/>
    </row>
    <row r="71" spans="3:9" x14ac:dyDescent="0.2">
      <c r="C71" s="3"/>
      <c r="D71" s="3"/>
      <c r="E71" s="3"/>
      <c r="F71" s="3"/>
      <c r="G71" s="3"/>
      <c r="H71" s="3"/>
      <c r="I71" s="3"/>
    </row>
    <row r="72" spans="3:9" x14ac:dyDescent="0.2">
      <c r="C72" s="3"/>
      <c r="D72" s="3"/>
      <c r="E72" s="3"/>
      <c r="F72" s="3"/>
      <c r="G72" s="3"/>
      <c r="H72" s="3"/>
      <c r="I72" s="3"/>
    </row>
    <row r="73" spans="3:9" x14ac:dyDescent="0.2">
      <c r="C73" s="3"/>
      <c r="D73" s="3"/>
      <c r="E73" s="3"/>
      <c r="F73" s="3"/>
      <c r="G73" s="3"/>
      <c r="H73" s="3"/>
      <c r="I73" s="3"/>
    </row>
    <row r="74" spans="3:9" x14ac:dyDescent="0.2">
      <c r="C74" s="3"/>
      <c r="D74" s="3"/>
      <c r="E74" s="3"/>
      <c r="F74" s="3"/>
      <c r="G74" s="3"/>
      <c r="H74" s="3"/>
      <c r="I74" s="3"/>
    </row>
    <row r="75" spans="3:9" x14ac:dyDescent="0.2">
      <c r="C75" s="3"/>
      <c r="D75" s="3"/>
      <c r="E75" s="3"/>
      <c r="F75" s="3"/>
      <c r="G75" s="3"/>
      <c r="H75" s="3"/>
      <c r="I75" s="3"/>
    </row>
    <row r="76" spans="3:9" x14ac:dyDescent="0.2">
      <c r="C76" s="3"/>
      <c r="D76" s="3"/>
      <c r="E76" s="3"/>
      <c r="F76" s="3"/>
      <c r="G76" s="3"/>
      <c r="H76" s="3"/>
      <c r="I76" s="3"/>
    </row>
    <row r="77" spans="3:9" x14ac:dyDescent="0.2">
      <c r="C77" s="3"/>
      <c r="D77" s="3"/>
      <c r="E77" s="3"/>
      <c r="F77" s="3"/>
      <c r="G77" s="3"/>
      <c r="H77" s="3"/>
      <c r="I77" s="3"/>
    </row>
    <row r="78" spans="3:9" x14ac:dyDescent="0.2">
      <c r="C78" s="3"/>
      <c r="D78" s="3"/>
      <c r="E78" s="3"/>
      <c r="F78" s="3"/>
      <c r="G78" s="3"/>
      <c r="H78" s="3"/>
      <c r="I78" s="3"/>
    </row>
    <row r="79" spans="3:9" x14ac:dyDescent="0.2">
      <c r="C79" s="3"/>
      <c r="D79" s="3"/>
      <c r="E79" s="3"/>
      <c r="F79" s="3"/>
      <c r="G79" s="3"/>
      <c r="H79" s="3"/>
      <c r="I79" s="3"/>
    </row>
    <row r="80" spans="3:9" x14ac:dyDescent="0.2">
      <c r="C80" s="3"/>
      <c r="D80" s="3"/>
      <c r="E80" s="3"/>
      <c r="F80" s="3"/>
      <c r="G80" s="3"/>
      <c r="H80" s="3"/>
      <c r="I80" s="3"/>
    </row>
    <row r="81" spans="3:9" x14ac:dyDescent="0.2">
      <c r="C81" s="3"/>
      <c r="D81" s="3"/>
      <c r="E81" s="3"/>
      <c r="F81" s="3"/>
      <c r="G81" s="3"/>
      <c r="H81" s="3"/>
      <c r="I81" s="3"/>
    </row>
    <row r="82" spans="3:9" x14ac:dyDescent="0.2">
      <c r="C82" s="3"/>
      <c r="D82" s="3"/>
      <c r="E82" s="3"/>
      <c r="F82" s="3"/>
      <c r="G82" s="3"/>
      <c r="H82" s="3"/>
      <c r="I82" s="3"/>
    </row>
    <row r="83" spans="3:9" x14ac:dyDescent="0.2">
      <c r="C83" s="3"/>
      <c r="D83" s="3"/>
      <c r="E83" s="3"/>
      <c r="F83" s="3"/>
      <c r="G83" s="3"/>
      <c r="H83" s="3"/>
      <c r="I83" s="3"/>
    </row>
    <row r="84" spans="3:9" x14ac:dyDescent="0.2">
      <c r="C84" s="3"/>
      <c r="D84" s="3"/>
      <c r="E84" s="3"/>
      <c r="F84" s="3"/>
      <c r="G84" s="3"/>
      <c r="H84" s="3"/>
      <c r="I84" s="3"/>
    </row>
    <row r="85" spans="3:9" x14ac:dyDescent="0.2">
      <c r="C85" s="3"/>
      <c r="D85" s="3"/>
      <c r="E85" s="3"/>
      <c r="F85" s="3"/>
      <c r="G85" s="3"/>
      <c r="H85" s="3"/>
      <c r="I85" s="3"/>
    </row>
    <row r="86" spans="3:9" x14ac:dyDescent="0.2">
      <c r="C86" s="3"/>
      <c r="D86" s="3"/>
      <c r="E86" s="3"/>
      <c r="F86" s="3"/>
      <c r="G86" s="3"/>
      <c r="H86" s="3"/>
      <c r="I86" s="3"/>
    </row>
    <row r="87" spans="3:9" x14ac:dyDescent="0.2">
      <c r="C87" s="3"/>
      <c r="D87" s="3"/>
      <c r="E87" s="3"/>
      <c r="F87" s="3"/>
      <c r="G87" s="3"/>
      <c r="H87" s="3"/>
      <c r="I87" s="3"/>
    </row>
    <row r="88" spans="3:9" x14ac:dyDescent="0.2">
      <c r="C88" s="3"/>
      <c r="D88" s="3"/>
      <c r="E88" s="3"/>
      <c r="F88" s="3"/>
      <c r="G88" s="3"/>
      <c r="H88" s="3"/>
      <c r="I88" s="3"/>
    </row>
    <row r="89" spans="3:9" x14ac:dyDescent="0.2">
      <c r="C89" s="3"/>
      <c r="D89" s="3"/>
      <c r="E89" s="3"/>
      <c r="F89" s="3"/>
      <c r="G89" s="3"/>
      <c r="H89" s="3"/>
      <c r="I89" s="3"/>
    </row>
    <row r="90" spans="3:9" x14ac:dyDescent="0.2">
      <c r="C90" s="3"/>
      <c r="D90" s="3"/>
      <c r="E90" s="3"/>
      <c r="F90" s="3"/>
      <c r="G90" s="3"/>
      <c r="H90" s="3"/>
      <c r="I90" s="3"/>
    </row>
    <row r="91" spans="3:9" x14ac:dyDescent="0.2">
      <c r="C91" s="3"/>
      <c r="D91" s="3"/>
      <c r="E91" s="3"/>
      <c r="F91" s="3"/>
      <c r="G91" s="3"/>
      <c r="H91" s="3"/>
      <c r="I91" s="3"/>
    </row>
    <row r="92" spans="3:9" x14ac:dyDescent="0.2">
      <c r="C92" s="3"/>
      <c r="D92" s="3"/>
      <c r="E92" s="3"/>
      <c r="F92" s="3"/>
      <c r="G92" s="3"/>
      <c r="H92" s="3"/>
      <c r="I92" s="3"/>
    </row>
    <row r="93" spans="3:9" x14ac:dyDescent="0.2">
      <c r="C93" s="3"/>
      <c r="D93" s="3"/>
      <c r="E93" s="3"/>
      <c r="F93" s="3"/>
      <c r="G93" s="3"/>
      <c r="H93" s="3"/>
      <c r="I93" s="3"/>
    </row>
    <row r="94" spans="3:9" x14ac:dyDescent="0.2">
      <c r="C94" s="3"/>
      <c r="D94" s="3"/>
      <c r="E94" s="3"/>
      <c r="F94" s="3"/>
      <c r="G94" s="3"/>
      <c r="H94" s="3"/>
      <c r="I94" s="3"/>
    </row>
    <row r="95" spans="3:9" x14ac:dyDescent="0.2">
      <c r="C95" s="3"/>
      <c r="D95" s="3"/>
      <c r="E95" s="3"/>
      <c r="F95" s="3"/>
      <c r="G95" s="3"/>
      <c r="H95" s="3"/>
      <c r="I95" s="3"/>
    </row>
    <row r="96" spans="3:9" x14ac:dyDescent="0.2">
      <c r="C96" s="3"/>
      <c r="D96" s="3"/>
      <c r="E96" s="3"/>
      <c r="F96" s="3"/>
      <c r="G96" s="3"/>
      <c r="H96" s="3"/>
      <c r="I96" s="3"/>
    </row>
    <row r="97" spans="3:9" x14ac:dyDescent="0.2">
      <c r="C97" s="3"/>
      <c r="D97" s="3"/>
      <c r="E97" s="3"/>
      <c r="F97" s="3"/>
      <c r="G97" s="3"/>
      <c r="H97" s="3"/>
      <c r="I97" s="3"/>
    </row>
    <row r="98" spans="3:9" x14ac:dyDescent="0.2">
      <c r="C98" s="3"/>
      <c r="D98" s="3"/>
      <c r="E98" s="3"/>
      <c r="F98" s="3"/>
      <c r="G98" s="3"/>
      <c r="H98" s="3"/>
      <c r="I98" s="3"/>
    </row>
    <row r="99" spans="3:9" x14ac:dyDescent="0.2">
      <c r="C99" s="3"/>
      <c r="D99" s="3"/>
      <c r="E99" s="3"/>
      <c r="F99" s="3"/>
      <c r="G99" s="3"/>
      <c r="H99" s="3"/>
      <c r="I99" s="3"/>
    </row>
    <row r="100" spans="3:9" x14ac:dyDescent="0.2">
      <c r="C100" s="3"/>
      <c r="D100" s="3"/>
      <c r="E100" s="3"/>
      <c r="F100" s="3"/>
      <c r="G100" s="3"/>
      <c r="H100" s="3"/>
      <c r="I100" s="3"/>
    </row>
    <row r="101" spans="3:9" x14ac:dyDescent="0.2">
      <c r="C101" s="3"/>
      <c r="D101" s="3"/>
      <c r="E101" s="3"/>
      <c r="F101" s="3"/>
      <c r="G101" s="3"/>
      <c r="H101" s="3"/>
      <c r="I101" s="3"/>
    </row>
    <row r="102" spans="3:9" x14ac:dyDescent="0.2">
      <c r="C102" s="3"/>
      <c r="D102" s="3"/>
      <c r="E102" s="3"/>
      <c r="F102" s="3"/>
      <c r="G102" s="3"/>
      <c r="H102" s="3"/>
      <c r="I102" s="3"/>
    </row>
    <row r="103" spans="3:9" x14ac:dyDescent="0.2">
      <c r="C103" s="3"/>
      <c r="D103" s="3"/>
      <c r="E103" s="3"/>
      <c r="F103" s="3"/>
      <c r="G103" s="3"/>
      <c r="H103" s="3"/>
      <c r="I103" s="3"/>
    </row>
    <row r="104" spans="3:9" x14ac:dyDescent="0.2">
      <c r="C104" s="3"/>
      <c r="D104" s="3"/>
      <c r="E104" s="3"/>
      <c r="F104" s="3"/>
      <c r="G104" s="3"/>
      <c r="H104" s="3"/>
      <c r="I104" s="3"/>
    </row>
    <row r="105" spans="3:9" x14ac:dyDescent="0.2">
      <c r="C105" s="3"/>
      <c r="D105" s="3"/>
      <c r="E105" s="3"/>
      <c r="F105" s="3"/>
      <c r="G105" s="3"/>
      <c r="H105" s="3"/>
      <c r="I105" s="3"/>
    </row>
    <row r="106" spans="3:9" x14ac:dyDescent="0.2">
      <c r="C106" s="3"/>
      <c r="D106" s="3"/>
      <c r="E106" s="3"/>
      <c r="F106" s="3"/>
      <c r="G106" s="3"/>
      <c r="H106" s="3"/>
      <c r="I106" s="3"/>
    </row>
    <row r="107" spans="3:9" x14ac:dyDescent="0.2">
      <c r="C107" s="3"/>
      <c r="D107" s="3"/>
      <c r="E107" s="3"/>
      <c r="F107" s="3"/>
      <c r="G107" s="3"/>
      <c r="H107" s="3"/>
      <c r="I107" s="3"/>
    </row>
    <row r="108" spans="3:9" x14ac:dyDescent="0.2">
      <c r="C108" s="3"/>
      <c r="D108" s="3"/>
      <c r="E108" s="3"/>
      <c r="F108" s="3"/>
      <c r="G108" s="3"/>
      <c r="H108" s="3"/>
      <c r="I108" s="3"/>
    </row>
    <row r="109" spans="3:9" x14ac:dyDescent="0.2">
      <c r="C109" s="3"/>
      <c r="D109" s="3"/>
      <c r="E109" s="3"/>
      <c r="F109" s="3"/>
      <c r="G109" s="3"/>
      <c r="H109" s="3"/>
      <c r="I109" s="3"/>
    </row>
    <row r="110" spans="3:9" x14ac:dyDescent="0.2">
      <c r="C110" s="3"/>
      <c r="D110" s="3"/>
      <c r="E110" s="3"/>
      <c r="F110" s="3"/>
      <c r="G110" s="3"/>
      <c r="H110" s="3"/>
      <c r="I110" s="3"/>
    </row>
    <row r="111" spans="3:9" x14ac:dyDescent="0.2">
      <c r="C111" s="3"/>
      <c r="D111" s="3"/>
      <c r="E111" s="3"/>
      <c r="F111" s="3"/>
      <c r="G111" s="3"/>
      <c r="H111" s="3"/>
      <c r="I111" s="3"/>
    </row>
    <row r="112" spans="3:9" x14ac:dyDescent="0.2">
      <c r="C112" s="3"/>
      <c r="D112" s="3"/>
      <c r="E112" s="3"/>
      <c r="F112" s="3"/>
      <c r="G112" s="3"/>
      <c r="H112" s="3"/>
      <c r="I112" s="3"/>
    </row>
    <row r="113" spans="3:9" x14ac:dyDescent="0.2">
      <c r="C113" s="3"/>
      <c r="D113" s="3"/>
      <c r="E113" s="3"/>
      <c r="F113" s="3"/>
      <c r="G113" s="3"/>
      <c r="H113" s="3"/>
      <c r="I113" s="3"/>
    </row>
    <row r="114" spans="3:9" x14ac:dyDescent="0.2">
      <c r="C114" s="3"/>
      <c r="D114" s="3"/>
      <c r="E114" s="3"/>
      <c r="F114" s="3"/>
      <c r="G114" s="3"/>
      <c r="H114" s="3"/>
      <c r="I114" s="3"/>
    </row>
    <row r="115" spans="3:9" x14ac:dyDescent="0.2">
      <c r="C115" s="3"/>
      <c r="D115" s="3"/>
      <c r="E115" s="3"/>
      <c r="F115" s="3"/>
      <c r="G115" s="3"/>
      <c r="H115" s="3"/>
      <c r="I115" s="3"/>
    </row>
    <row r="116" spans="3:9" x14ac:dyDescent="0.2">
      <c r="C116" s="3"/>
      <c r="D116" s="3"/>
      <c r="E116" s="3"/>
      <c r="F116" s="3"/>
      <c r="G116" s="3"/>
      <c r="H116" s="3"/>
      <c r="I116" s="3"/>
    </row>
    <row r="117" spans="3:9" x14ac:dyDescent="0.2">
      <c r="C117" s="3"/>
      <c r="D117" s="3"/>
      <c r="E117" s="3"/>
      <c r="F117" s="3"/>
      <c r="G117" s="3"/>
      <c r="H117" s="3"/>
      <c r="I117" s="3"/>
    </row>
    <row r="118" spans="3:9" x14ac:dyDescent="0.2">
      <c r="C118" s="3"/>
      <c r="D118" s="3"/>
      <c r="E118" s="3"/>
      <c r="F118" s="3"/>
      <c r="G118" s="3"/>
      <c r="H118" s="3"/>
      <c r="I118" s="3"/>
    </row>
    <row r="119" spans="3:9" x14ac:dyDescent="0.2">
      <c r="C119" s="3"/>
      <c r="D119" s="3"/>
      <c r="E119" s="3"/>
      <c r="F119" s="3"/>
      <c r="G119" s="3"/>
      <c r="H119" s="3"/>
      <c r="I119" s="3"/>
    </row>
    <row r="120" spans="3:9" x14ac:dyDescent="0.2">
      <c r="C120" s="3"/>
      <c r="D120" s="3"/>
      <c r="E120" s="3"/>
      <c r="F120" s="3"/>
      <c r="G120" s="3"/>
      <c r="H120" s="3"/>
      <c r="I120" s="3"/>
    </row>
    <row r="121" spans="3:9" x14ac:dyDescent="0.2">
      <c r="C121" s="3"/>
      <c r="D121" s="3"/>
      <c r="E121" s="3"/>
      <c r="F121" s="3"/>
      <c r="G121" s="3"/>
      <c r="H121" s="3"/>
      <c r="I121" s="3"/>
    </row>
    <row r="122" spans="3:9" x14ac:dyDescent="0.2">
      <c r="C122" s="3"/>
      <c r="D122" s="3"/>
      <c r="E122" s="3"/>
      <c r="F122" s="3"/>
      <c r="G122" s="3"/>
      <c r="H122" s="3"/>
      <c r="I122" s="3"/>
    </row>
    <row r="123" spans="3:9" x14ac:dyDescent="0.2">
      <c r="C123" s="3"/>
      <c r="D123" s="3"/>
      <c r="E123" s="3"/>
      <c r="F123" s="3"/>
      <c r="G123" s="3"/>
      <c r="H123" s="3"/>
      <c r="I123" s="3"/>
    </row>
    <row r="124" spans="3:9" x14ac:dyDescent="0.2">
      <c r="C124" s="3"/>
      <c r="D124" s="3"/>
      <c r="E124" s="3"/>
      <c r="F124" s="3"/>
      <c r="G124" s="3"/>
      <c r="H124" s="3"/>
      <c r="I124" s="3"/>
    </row>
    <row r="125" spans="3:9" x14ac:dyDescent="0.2">
      <c r="D125" s="3"/>
      <c r="E125" s="3"/>
      <c r="G125" s="3"/>
      <c r="H125" s="3"/>
      <c r="I125" s="3"/>
    </row>
    <row r="126" spans="3:9" x14ac:dyDescent="0.2">
      <c r="D126" s="3"/>
      <c r="G126" s="3"/>
      <c r="H126" s="3"/>
      <c r="I126" s="3"/>
    </row>
    <row r="127" spans="3:9" x14ac:dyDescent="0.2">
      <c r="D127" s="3"/>
      <c r="G127" s="3"/>
      <c r="H127" s="3"/>
      <c r="I127" s="3"/>
    </row>
    <row r="128" spans="3:9" x14ac:dyDescent="0.2">
      <c r="D128" s="3"/>
      <c r="G128" s="3"/>
      <c r="H128" s="3"/>
      <c r="I128" s="3"/>
    </row>
    <row r="129" spans="4:9" x14ac:dyDescent="0.2">
      <c r="D129" s="3"/>
      <c r="G129" s="3"/>
      <c r="H129" s="3"/>
      <c r="I129" s="3"/>
    </row>
    <row r="130" spans="4:9" x14ac:dyDescent="0.2">
      <c r="D130" s="3"/>
      <c r="G130" s="3"/>
      <c r="H130" s="3"/>
      <c r="I130" s="3"/>
    </row>
    <row r="131" spans="4:9" x14ac:dyDescent="0.2">
      <c r="D131" s="3"/>
      <c r="G131" s="3"/>
      <c r="H131" s="3"/>
      <c r="I131" s="3"/>
    </row>
    <row r="132" spans="4:9" x14ac:dyDescent="0.2">
      <c r="D132" s="3"/>
      <c r="G132" s="3"/>
      <c r="H132" s="3"/>
      <c r="I132" s="3"/>
    </row>
    <row r="133" spans="4:9" x14ac:dyDescent="0.2">
      <c r="D133" s="3"/>
      <c r="G133" s="3"/>
      <c r="H133" s="3"/>
      <c r="I133" s="3"/>
    </row>
    <row r="134" spans="4:9" x14ac:dyDescent="0.2">
      <c r="D134" s="3"/>
      <c r="G134" s="3"/>
      <c r="H134" s="3"/>
      <c r="I134" s="3"/>
    </row>
    <row r="135" spans="4:9" x14ac:dyDescent="0.2">
      <c r="D135" s="3"/>
      <c r="G135" s="3"/>
      <c r="H135" s="3"/>
      <c r="I135" s="3"/>
    </row>
    <row r="136" spans="4:9" x14ac:dyDescent="0.2">
      <c r="D136" s="3"/>
      <c r="G136" s="3"/>
      <c r="H136" s="3"/>
    </row>
    <row r="137" spans="4:9" x14ac:dyDescent="0.2">
      <c r="D137" s="3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>
      <selection activeCell="E24" sqref="E24"/>
    </sheetView>
  </sheetViews>
  <sheetFormatPr defaultRowHeight="14.25" x14ac:dyDescent="0.2"/>
  <cols>
    <col min="1" max="1" width="12.75" bestFit="1" customWidth="1"/>
    <col min="2" max="2" width="16" style="11" bestFit="1" customWidth="1"/>
    <col min="3" max="3" width="8.5" bestFit="1" customWidth="1"/>
    <col min="4" max="4" width="12.875" bestFit="1" customWidth="1"/>
    <col min="5" max="5" width="14" bestFit="1" customWidth="1"/>
    <col min="6" max="6" width="17.75" bestFit="1" customWidth="1"/>
    <col min="7" max="7" width="16.25" bestFit="1" customWidth="1"/>
    <col min="8" max="8" width="14" bestFit="1" customWidth="1"/>
    <col min="9" max="9" width="9.875" bestFit="1" customWidth="1"/>
    <col min="10" max="10" width="8.125" bestFit="1" customWidth="1"/>
    <col min="11" max="11" width="15" bestFit="1" customWidth="1"/>
    <col min="12" max="12" width="7.25" bestFit="1" customWidth="1"/>
    <col min="13" max="13" width="5.75" bestFit="1" customWidth="1"/>
    <col min="14" max="14" width="6.5" bestFit="1" customWidth="1"/>
  </cols>
  <sheetData>
    <row r="1" spans="1:14" s="2" customFormat="1" x14ac:dyDescent="0.2"/>
    <row r="2" spans="1:14" s="2" customFormat="1" x14ac:dyDescent="0.2">
      <c r="A2" s="14" t="s">
        <v>5</v>
      </c>
      <c r="B2" s="2">
        <v>0</v>
      </c>
      <c r="D2" s="14" t="s">
        <v>6</v>
      </c>
      <c r="E2" s="2">
        <v>0.1</v>
      </c>
    </row>
    <row r="3" spans="1:14" s="19" customFormat="1" x14ac:dyDescent="0.2"/>
    <row r="4" spans="1:14" s="19" customFormat="1" x14ac:dyDescent="0.2">
      <c r="A4" s="14" t="s">
        <v>9</v>
      </c>
      <c r="B4" s="5">
        <v>42825</v>
      </c>
      <c r="C4" s="14" t="s">
        <v>12</v>
      </c>
      <c r="D4" s="2">
        <v>4.02E-2</v>
      </c>
      <c r="E4" s="14" t="s">
        <v>17</v>
      </c>
      <c r="F4" s="21">
        <v>10000000000</v>
      </c>
      <c r="G4" s="14" t="s">
        <v>19</v>
      </c>
      <c r="H4" s="20" t="s">
        <v>20</v>
      </c>
      <c r="I4" s="14" t="s">
        <v>21</v>
      </c>
      <c r="J4" s="19" t="s">
        <v>22</v>
      </c>
      <c r="K4" s="14" t="s">
        <v>23</v>
      </c>
      <c r="L4" s="19" t="s">
        <v>24</v>
      </c>
      <c r="M4" s="14" t="s">
        <v>25</v>
      </c>
      <c r="N4" s="19" t="s">
        <v>26</v>
      </c>
    </row>
    <row r="6" spans="1:14" x14ac:dyDescent="0.2">
      <c r="A6" t="s">
        <v>4</v>
      </c>
      <c r="B6" s="11" t="s">
        <v>18</v>
      </c>
      <c r="C6" t="s">
        <v>3</v>
      </c>
      <c r="D6" t="s">
        <v>0</v>
      </c>
      <c r="E6" t="s">
        <v>1</v>
      </c>
      <c r="F6" t="s">
        <v>2</v>
      </c>
    </row>
    <row r="7" spans="1:14" x14ac:dyDescent="0.2">
      <c r="A7" s="5">
        <v>42825</v>
      </c>
      <c r="B7" s="11">
        <v>10000000000</v>
      </c>
      <c r="C7">
        <v>0</v>
      </c>
      <c r="D7">
        <v>0</v>
      </c>
      <c r="E7">
        <v>0</v>
      </c>
      <c r="F7" s="1">
        <v>10000000000</v>
      </c>
    </row>
    <row r="8" spans="1:14" x14ac:dyDescent="0.2">
      <c r="A8" s="4">
        <v>42855</v>
      </c>
      <c r="B8" s="11">
        <f>F7</f>
        <v>10000000000</v>
      </c>
      <c r="C8">
        <v>0</v>
      </c>
      <c r="D8" s="1">
        <v>33500000</v>
      </c>
      <c r="E8" s="1">
        <v>818090423.05999994</v>
      </c>
      <c r="F8" s="1">
        <v>9181909576.9400005</v>
      </c>
    </row>
    <row r="9" spans="1:14" x14ac:dyDescent="0.2">
      <c r="A9" s="5">
        <v>42886</v>
      </c>
      <c r="B9" s="11">
        <f t="shared" ref="B9:B19" si="0">F8</f>
        <v>9181909576.9400005</v>
      </c>
      <c r="C9">
        <v>0</v>
      </c>
      <c r="D9" s="1">
        <v>30759397.079999998</v>
      </c>
      <c r="E9" s="1">
        <v>820831025.98000002</v>
      </c>
      <c r="F9" s="1">
        <v>8361078550.96</v>
      </c>
    </row>
    <row r="10" spans="1:14" x14ac:dyDescent="0.2">
      <c r="A10" s="4">
        <v>42916</v>
      </c>
      <c r="B10" s="11">
        <f t="shared" si="0"/>
        <v>8361078550.96</v>
      </c>
      <c r="C10">
        <v>0</v>
      </c>
      <c r="D10" s="1">
        <v>28009613.149999999</v>
      </c>
      <c r="E10" s="1">
        <v>823580809.91999996</v>
      </c>
      <c r="F10" s="1">
        <v>7537497741.04</v>
      </c>
    </row>
    <row r="11" spans="1:14" x14ac:dyDescent="0.2">
      <c r="A11" s="5">
        <v>42947</v>
      </c>
      <c r="B11" s="11">
        <f t="shared" si="0"/>
        <v>7537497741.04</v>
      </c>
      <c r="C11">
        <v>0</v>
      </c>
      <c r="D11" s="1">
        <v>25250617.43</v>
      </c>
      <c r="E11" s="1">
        <v>826339805.63</v>
      </c>
      <c r="F11" s="1">
        <v>6711157935.4099998</v>
      </c>
    </row>
    <row r="12" spans="1:14" x14ac:dyDescent="0.2">
      <c r="A12" s="4">
        <v>42978</v>
      </c>
      <c r="B12" s="11">
        <f t="shared" si="0"/>
        <v>6711157935.4099998</v>
      </c>
      <c r="C12">
        <v>0</v>
      </c>
      <c r="D12" s="1">
        <v>22482379.079999998</v>
      </c>
      <c r="E12" s="1">
        <v>829108043.98000002</v>
      </c>
      <c r="F12" s="1">
        <v>5882049891.4300003</v>
      </c>
    </row>
    <row r="13" spans="1:14" x14ac:dyDescent="0.2">
      <c r="A13" s="5">
        <v>43008</v>
      </c>
      <c r="B13" s="11">
        <f t="shared" si="0"/>
        <v>5882049891.4300003</v>
      </c>
      <c r="C13">
        <v>0</v>
      </c>
      <c r="D13" s="1">
        <v>19704867.140000001</v>
      </c>
      <c r="E13" s="1">
        <v>831885555.92999995</v>
      </c>
      <c r="F13" s="1">
        <v>5050164335.5</v>
      </c>
    </row>
    <row r="14" spans="1:14" x14ac:dyDescent="0.2">
      <c r="A14" s="4">
        <v>43039</v>
      </c>
      <c r="B14" s="11">
        <f t="shared" si="0"/>
        <v>5050164335.5</v>
      </c>
      <c r="C14">
        <v>0</v>
      </c>
      <c r="D14" s="1">
        <v>16918050.52</v>
      </c>
      <c r="E14" s="1">
        <v>834672372.53999996</v>
      </c>
      <c r="F14" s="1">
        <v>4215491962.96</v>
      </c>
    </row>
    <row r="15" spans="1:14" x14ac:dyDescent="0.2">
      <c r="A15" s="5">
        <v>43069</v>
      </c>
      <c r="B15" s="11">
        <f t="shared" si="0"/>
        <v>4215491962.96</v>
      </c>
      <c r="C15">
        <v>0</v>
      </c>
      <c r="D15" s="1">
        <v>14121898.08</v>
      </c>
      <c r="E15" s="1">
        <v>837468524.99000001</v>
      </c>
      <c r="F15" s="1">
        <v>3378023437.9699998</v>
      </c>
    </row>
    <row r="16" spans="1:14" x14ac:dyDescent="0.2">
      <c r="A16" s="4">
        <v>43100</v>
      </c>
      <c r="B16" s="11">
        <f t="shared" si="0"/>
        <v>3378023437.9699998</v>
      </c>
      <c r="C16">
        <v>0</v>
      </c>
      <c r="D16" s="1">
        <v>11316378.52</v>
      </c>
      <c r="E16" s="1">
        <v>840274044.54999995</v>
      </c>
      <c r="F16" s="1">
        <v>2537749393.4299998</v>
      </c>
    </row>
    <row r="17" spans="1:6" x14ac:dyDescent="0.2">
      <c r="A17" s="5">
        <v>43131</v>
      </c>
      <c r="B17" s="11">
        <f t="shared" si="0"/>
        <v>2537749393.4299998</v>
      </c>
      <c r="C17">
        <v>0</v>
      </c>
      <c r="D17" s="1">
        <v>8501460.4700000007</v>
      </c>
      <c r="E17" s="1">
        <v>843088962.60000002</v>
      </c>
      <c r="F17" s="1">
        <v>1694660430.8299999</v>
      </c>
    </row>
    <row r="18" spans="1:6" x14ac:dyDescent="0.2">
      <c r="A18" s="4">
        <v>43159</v>
      </c>
      <c r="B18" s="11">
        <f t="shared" si="0"/>
        <v>1694660430.8299999</v>
      </c>
      <c r="C18">
        <v>0</v>
      </c>
      <c r="D18" s="1">
        <v>5298638.28</v>
      </c>
      <c r="E18" s="1">
        <v>846291784.77999997</v>
      </c>
      <c r="F18" s="1">
        <v>848368646.04999995</v>
      </c>
    </row>
    <row r="19" spans="1:6" x14ac:dyDescent="0.2">
      <c r="A19" s="5">
        <v>43190</v>
      </c>
      <c r="B19" s="11">
        <f t="shared" si="0"/>
        <v>848368646.04999995</v>
      </c>
      <c r="C19">
        <v>0</v>
      </c>
      <c r="D19" s="1">
        <v>3126238.46</v>
      </c>
      <c r="E19" s="1">
        <v>848368646.04999995</v>
      </c>
      <c r="F19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10cdr 10cpr</vt:lpstr>
      <vt:lpstr>0cpr 0cdr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Wenhui Hou</dc:creator>
  <cp:lastModifiedBy>Wenhui Hou</cp:lastModifiedBy>
  <dcterms:created xsi:type="dcterms:W3CDTF">2017-07-06T07:03:00Z</dcterms:created>
  <dcterms:modified xsi:type="dcterms:W3CDTF">2018-05-10T08:56:07Z</dcterms:modified>
</cp:coreProperties>
</file>